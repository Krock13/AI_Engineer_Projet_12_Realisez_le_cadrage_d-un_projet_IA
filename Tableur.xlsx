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mensionnement" sheetId="1" r:id="rId4"/>
    <sheet state="visible" name="Registre des traitements CNIL" sheetId="2" r:id="rId5"/>
    <sheet state="visible" name="Analyse des risques" sheetId="3" r:id="rId6"/>
  </sheets>
  <definedNames/>
  <calcPr/>
</workbook>
</file>

<file path=xl/sharedStrings.xml><?xml version="1.0" encoding="utf-8"?>
<sst xmlns="http://schemas.openxmlformats.org/spreadsheetml/2006/main" count="141" uniqueCount="136">
  <si>
    <t>Titre user story</t>
  </si>
  <si>
    <t>Charge estimée (jours)</t>
  </si>
  <si>
    <t>Répartition Data Scientist (%)</t>
  </si>
  <si>
    <t>Répartition Développeur (%)</t>
  </si>
  <si>
    <t>Répartition UX/UI (%)</t>
  </si>
  <si>
    <t>Jours DS</t>
  </si>
  <si>
    <t>Jours Dev</t>
  </si>
  <si>
    <t>Jours UX/UI</t>
  </si>
  <si>
    <t>Coût DS</t>
  </si>
  <si>
    <t>Coût Dev</t>
  </si>
  <si>
    <t>Coût UX/UI</t>
  </si>
  <si>
    <t>Coût total</t>
  </si>
  <si>
    <t>Recommandation à partir de photos</t>
  </si>
  <si>
    <t>Recommandation intelligente personnalisée</t>
  </si>
  <si>
    <t>Prévisualisation du vêtement recommandé</t>
  </si>
  <si>
    <t>Personnalisation du vêtement recommandé</t>
  </si>
  <si>
    <t>Recommandation selon préférences personnelles</t>
  </si>
  <si>
    <t>Donner un avis sur les recommandations IA</t>
  </si>
  <si>
    <t>Total</t>
  </si>
  <si>
    <t>Note :</t>
  </si>
  <si>
    <t>Coût journalier estimé par profil :</t>
  </si>
  <si>
    <t>- Data Scientist : 600 €</t>
  </si>
  <si>
    <t>- Développeur : 500 €</t>
  </si>
  <si>
    <t>- UX/UI Designer : 400 €</t>
  </si>
  <si>
    <t>- Product Owner : 600 €</t>
  </si>
  <si>
    <t>- Scrum Master : 550 €</t>
  </si>
  <si>
    <t>- Expert IA : 800 €</t>
  </si>
  <si>
    <t>Ces coûts sont des moyennes standards</t>
  </si>
  <si>
    <t>appliquées au cadrage.</t>
  </si>
  <si>
    <t>Description</t>
  </si>
  <si>
    <t>Montant (€)</t>
  </si>
  <si>
    <t>Coût de développement initial</t>
  </si>
  <si>
    <t>Coût initial infra Azure (entraîne + stockage)</t>
  </si>
  <si>
    <t>Product Owner (7 jours x 600 €)</t>
  </si>
  <si>
    <t>Scrum Master (5 jours x 550 €)</t>
  </si>
  <si>
    <t>Expert IA (8 jours x 800 €)</t>
  </si>
  <si>
    <t>Total coût initial</t>
  </si>
  <si>
    <t>Maintenance appli (15%)</t>
  </si>
  <si>
    <t>Azure – Production IA</t>
  </si>
  <si>
    <t>Total coût annuel</t>
  </si>
  <si>
    <t>Année</t>
  </si>
  <si>
    <t>Coûts cumulés (€)</t>
  </si>
  <si>
    <t>Gains cumulés (€)</t>
  </si>
  <si>
    <t>Résultat net (€)</t>
  </si>
  <si>
    <t>Année 1</t>
  </si>
  <si>
    <t>Année 2</t>
  </si>
  <si>
    <t>Année 3</t>
  </si>
  <si>
    <t>Année 4</t>
  </si>
  <si>
    <t>Année 5</t>
  </si>
  <si>
    <t>Année 6</t>
  </si>
  <si>
    <t>Année 7</t>
  </si>
  <si>
    <t>Année 8</t>
  </si>
  <si>
    <t>Année 9</t>
  </si>
  <si>
    <t>Année 10</t>
  </si>
  <si>
    <t>Année 11</t>
  </si>
  <si>
    <t>Année 12</t>
  </si>
  <si>
    <t>Sprint</t>
  </si>
  <si>
    <t>Durée (semaines)</t>
  </si>
  <si>
    <t>User stories développées</t>
  </si>
  <si>
    <t>Priorité MoSCoW</t>
  </si>
  <si>
    <t>Objectif principal</t>
  </si>
  <si>
    <t>Sprint 1</t>
  </si>
  <si>
    <t>Recommandation à partir de photos, Prévisualisation du vêtement recommandé</t>
  </si>
  <si>
    <t>Must Have / Should Have</t>
  </si>
  <si>
    <t>Mettre en place les fondations de l’IA de recommandation visuelle</t>
  </si>
  <si>
    <t>Sprint 2</t>
  </si>
  <si>
    <t>Must Have</t>
  </si>
  <si>
    <t>Ajouter la personnalisation basée sur l'utilisateur</t>
  </si>
  <si>
    <t>Sprint 3</t>
  </si>
  <si>
    <t>Approfondir la personnalisation avec préférences explicites</t>
  </si>
  <si>
    <t>Sprint 4</t>
  </si>
  <si>
    <t>Should have</t>
  </si>
  <si>
    <t>Rendre l’expérience plus immersive et modifiable</t>
  </si>
  <si>
    <t>Sprint 5</t>
  </si>
  <si>
    <t>Could Have</t>
  </si>
  <si>
    <t>Collecter des retours utilisateurs pour améliorer l’IA</t>
  </si>
  <si>
    <t>Organisation du projet selon SCRUM</t>
  </si>
  <si>
    <t>Le projet est structuré selon la méthodologie SCRUM, en sprints de 2 semaines.
L’équipe projet est composée d’un Product Owner (représentant du client), d’un Scrum Master (garant de la méthode), et de profils techniques : Développeurs, Data Scientists, et UX/UI Designers.
Chaque sprint commence par une Sprint Planning, suivi de Daily Meetings pour ajuster l’avancement. En fin de sprint, une Sprint Review est organisée avec démonstration des fonctionnalités livrées, puis une Rétrospective pour analyser les points d'amélioration.
Le backlog est priorisé selon la méthode MoSCoW et adapté au fur et à mesure des retours et besoins métier.</t>
  </si>
  <si>
    <t>Nom du traitement</t>
  </si>
  <si>
    <t>Finalité</t>
  </si>
  <si>
    <t>Base légale</t>
  </si>
  <si>
    <t>Catégories de données traitées</t>
  </si>
  <si>
    <t>Personnes concernées</t>
  </si>
  <si>
    <t>Durée de conservation</t>
  </si>
  <si>
    <t>Mesures de sécurité</t>
  </si>
  <si>
    <t>Recommandation IA personnalisée à partir de photos utilisateur</t>
  </si>
  <si>
    <t>Offrir des recommandations vestimentaires personnalisées basées sur l’analyse des photos envoyées par l’utilisateur</t>
  </si>
  <si>
    <t>Consentement explicite de la personne concernée (article 6.1.a RGPD)</t>
  </si>
  <si>
    <t>- Données d’image (photos de l’utilisateur) 
- Données de profil (taille, préférences, historique de navigation et de clics) 
- Métadonnées associées aux photos</t>
  </si>
  <si>
    <t>Utilisateurs de la plateforme Fashion Insta ayant accepté la personnalisation par IA</t>
  </si>
  <si>
    <t>1 an après la dernière activité de l’utilisateur, puis suppression automatique</t>
  </si>
  <si>
    <t>- Données chiffrées au repos et en transit 
- Accès restreint aux seuls membres autorisés du projet 
- Journalisation des accès 
- Entraînement des modèles sur environnement sécurisé Azure</t>
  </si>
  <si>
    <r>
      <rPr>
        <rFont val="Arial"/>
        <b/>
        <color theme="1"/>
        <sz val="14.0"/>
      </rPr>
      <t>Analyse des biais et problématiques éthiques liés au traitement IA</t>
    </r>
    <r>
      <rPr>
        <rFont val="Arial"/>
        <color theme="1"/>
        <sz val="11.0"/>
      </rPr>
      <t xml:space="preserve">
Le traitement IA "Recommandation personnalisée à partir de photos utilisateur" présente plusieurs risques éthiques potentiels. Tout d’abord, il peut introduire des biais algorithmiques en fonction des données d'entraînement utilisées. Par exemple, si l’IA a été entraînée majoritairement sur des images correspondant à un type morphologique, un genre ou une origine particulière, elle pourrait fournir des recommandations moins pertinentes, voire discriminatoires, pour des utilisateurs en dehors de ce profil.
De plus, l’analyse automatisée de photos soulève des problèmes de perception et de consentement. Certains utilisateurs pourraient ne pas être conscients de l'étendue des informations extraites à partir de leurs images (expressions, posture, contexte), ce qui pose un risque d’opacité du traitement.
Enfin, la personnalisation poussée peut renforcer des bulles comportementales, en ne proposant que des vêtements similaires à ceux déjà consultés, limitant la diversité stylistique proposée.
Pour atténuer ces biais, des mesures telles que la diversification du dataset d’entraînement, la transparence des critères de recommandation, et l’ouverture à des retours utilisateurs sur la qualité des suggestions sont recommandées.</t>
    </r>
  </si>
  <si>
    <t>Facteurs de risque</t>
  </si>
  <si>
    <t>Risque (événement redouté)</t>
  </si>
  <si>
    <t>Conséquences</t>
  </si>
  <si>
    <t>Impact (0 à 3)</t>
  </si>
  <si>
    <t>Probabilité (0 à 3)</t>
  </si>
  <si>
    <t>Criticité (impact*prob)</t>
  </si>
  <si>
    <t>Actions de prévention</t>
  </si>
  <si>
    <t>Actions de correction</t>
  </si>
  <si>
    <t>Étant donné que le Data Scientist est junior</t>
  </si>
  <si>
    <t>Si le modèle est mal entraîné</t>
  </si>
  <si>
    <t>Alors les recommandations seront peu pertinentes voire erronées, ce qui nuit à l'expérience utilisateur</t>
  </si>
  <si>
    <t>Relecture et validation par le sous-traitant expert IA + tests approfondis</t>
  </si>
  <si>
    <t>Réentraîner les modèles avec accompagnement expert</t>
  </si>
  <si>
    <t>Étant donné les délais très courts</t>
  </si>
  <si>
    <t>Si le planning est mal respecté</t>
  </si>
  <si>
    <t>Alors certaines fonctionnalités critiques ne seront pas livrées à temps</t>
  </si>
  <si>
    <t>Suivi régulier avec points d’alerte + replanification proactive</t>
  </si>
  <si>
    <t>Priorisation stricte des US selon MoSCoW, livrer en plusieurs phases</t>
  </si>
  <si>
    <t>Étant donné que les développeurs sont surchargés</t>
  </si>
  <si>
    <t>Si la qualité du code est insuffisante</t>
  </si>
  <si>
    <t>Alors l’application peut comporter des bugs, affectant la fiabilité</t>
  </si>
  <si>
    <t>Code review systématique + automatisation des tests</t>
  </si>
  <si>
    <t>Correction des bugs en sprint de maintenance post-livraison</t>
  </si>
  <si>
    <t>Étant donné que les données images sont sensibles</t>
  </si>
  <si>
    <t>Si les données sont mal protégées</t>
  </si>
  <si>
    <t>Alors il y a un risque de violation des données personnelles</t>
  </si>
  <si>
    <t>Données chiffrées, accès restreints, environnement sécurisé Azure</t>
  </si>
  <si>
    <t>Alerte CNIL, notification utilisateurs, audit de sécurité</t>
  </si>
  <si>
    <t>Étant donné l’importance de la confiance des clients</t>
  </si>
  <si>
    <t>Si une fuite de données se produit</t>
  </si>
  <si>
    <t>Alors l’image de marque est durablement entachée</t>
  </si>
  <si>
    <t>Communication claire sur la sécurité, politique RGPD renforcée</t>
  </si>
  <si>
    <t>Campagne de reconquête + transparence sur mesures prises</t>
  </si>
  <si>
    <t>Étant donné que le Product Owner est peu disponible</t>
  </si>
  <si>
    <t>Si la priorisation du backlog est inadéquate</t>
  </si>
  <si>
    <t>Alors les fonctionnalités critiques pourraient être mal livrées ou mises en retard</t>
  </si>
  <si>
    <t>Sprint planning bien préparé + disponibilité anticipée</t>
  </si>
  <si>
    <t>Repriorisation rapide en cours de sprint</t>
  </si>
  <si>
    <t>Étant donné que le respect des rituels SCRUM est essentiel</t>
  </si>
  <si>
    <t>Si la méthode SCRUM est mal appliquée</t>
  </si>
  <si>
    <t>Alors l’équipe pourrait manquer de coordination ou dériver du périmètre initial</t>
  </si>
  <si>
    <t>Sprint planning clair + Rétrospectives suivies + Suivi rigoureux du burndown chart</t>
  </si>
  <si>
    <t>Ajustement avec le Scrum Master + recadrage collectif lors d’un sprint review</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</si>
</sst>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color theme="1"/>
      <name val="Arial"/>
      <scheme val="minor"/>
    </font>
    <font>
      <b/>
      <color rgb="FF000000"/>
      <name val="Arial"/>
      <scheme val="minor"/>
    </font>
    <font>
      <b/>
      <color rgb="FFFF9900"/>
      <name val="Arial"/>
      <scheme val="minor"/>
    </font>
    <font>
      <sz val="11.0"/>
      <color theme="1"/>
      <name val="Arial"/>
      <scheme val="minor"/>
    </font>
  </fonts>
  <fills count="4">
    <fill>
      <patternFill patternType="none"/>
    </fill>
    <fill>
      <patternFill patternType="lightGray"/>
    </fill>
    <fill>
      <patternFill patternType="solid">
        <fgColor rgb="FFB6D7A8"/>
        <bgColor rgb="FFB6D7A8"/>
      </patternFill>
    </fill>
    <fill>
      <patternFill patternType="solid">
        <fgColor rgb="FFFFFFFF"/>
        <bgColor rgb="FFFFFFFF"/>
      </patternFill>
    </fill>
  </fills>
  <borders count="20">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B6D7A8"/>
      </left>
      <right style="thin">
        <color rgb="FF284E3F"/>
      </right>
      <top style="thin">
        <color rgb="FFB6D7A8"/>
      </top>
      <bottom style="thin">
        <color rgb="FFB6D7A8"/>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284E3F"/>
      </left>
      <right style="thin">
        <color rgb="FFB6D7A8"/>
      </right>
      <top style="double">
        <color rgb="FF284E3F"/>
      </top>
      <bottom style="thin">
        <color rgb="FF284E3F"/>
      </bottom>
    </border>
    <border>
      <left style="thin">
        <color rgb="FFB6D7A8"/>
      </left>
      <right style="thin">
        <color rgb="FF284E3F"/>
      </right>
      <top style="double">
        <color rgb="FF284E3F"/>
      </top>
      <bottom style="thin">
        <color rgb="FF284E3F"/>
      </bottom>
    </border>
    <border>
      <left style="thin">
        <color rgb="FFFFFFFF"/>
      </left>
      <right style="thin">
        <color rgb="FF284E3F"/>
      </right>
      <top style="thin">
        <color rgb="FFFFFFFF"/>
      </top>
      <bottom style="thin">
        <color rgb="FFFFFFFF"/>
      </bottom>
    </border>
    <border>
      <left style="thin">
        <color rgb="FFF6F8F9"/>
      </left>
      <right style="thin">
        <color rgb="FF284E3F"/>
      </right>
      <top style="thin">
        <color rgb="FFF6F8F9"/>
      </top>
      <bottom style="thin">
        <color rgb="FFF6F8F9"/>
      </bottom>
    </border>
    <border>
      <left style="thin">
        <color rgb="FF284E3F"/>
      </left>
      <right style="thin">
        <color rgb="FFB6D7A8"/>
      </right>
      <top style="thin">
        <color rgb="FFB6D7A8"/>
      </top>
      <bottom style="thin">
        <color rgb="FFB6D7A8"/>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0"/>
    </xf>
    <xf borderId="2" fillId="0" fontId="1" numFmtId="0" xfId="0" applyAlignment="1" applyBorder="1" applyFont="1">
      <alignment horizontal="center" readingOrder="0" shrinkToFit="0" vertical="center" wrapText="0"/>
    </xf>
    <xf borderId="3" fillId="0" fontId="1" numFmtId="0" xfId="0" applyAlignment="1" applyBorder="1" applyFont="1">
      <alignment horizontal="center" readingOrder="0" shrinkToFit="0" vertical="center" wrapText="0"/>
    </xf>
    <xf borderId="4" fillId="0" fontId="2" numFmtId="0" xfId="0" applyAlignment="1" applyBorder="1" applyFont="1">
      <alignment readingOrder="0" shrinkToFit="0" vertical="center" wrapText="0"/>
    </xf>
    <xf borderId="5" fillId="0" fontId="2" numFmtId="0" xfId="0" applyAlignment="1" applyBorder="1" applyFont="1">
      <alignment readingOrder="0" shrinkToFit="0" vertical="center" wrapText="0"/>
    </xf>
    <xf borderId="5" fillId="0" fontId="2" numFmtId="0" xfId="0" applyAlignment="1" applyBorder="1" applyFont="1">
      <alignment shrinkToFit="0" vertical="center" wrapText="0"/>
    </xf>
    <xf borderId="6" fillId="2" fontId="2" numFmtId="0" xfId="0" applyAlignment="1" applyBorder="1" applyFill="1" applyFont="1">
      <alignment shrinkToFit="0" vertical="center" wrapText="0"/>
    </xf>
    <xf borderId="7" fillId="0" fontId="2" numFmtId="0" xfId="0" applyAlignment="1" applyBorder="1" applyFont="1">
      <alignment readingOrder="0" shrinkToFit="0" vertical="center" wrapText="0"/>
    </xf>
    <xf borderId="8" fillId="0" fontId="2" numFmtId="0" xfId="0" applyAlignment="1" applyBorder="1" applyFont="1">
      <alignment readingOrder="0" shrinkToFit="0" vertical="center" wrapText="0"/>
    </xf>
    <xf borderId="8" fillId="0" fontId="2" numFmtId="0" xfId="0" applyAlignment="1" applyBorder="1" applyFont="1">
      <alignment shrinkToFit="0" vertical="center" wrapText="0"/>
    </xf>
    <xf borderId="9" fillId="2" fontId="2" numFmtId="0" xfId="0" applyAlignment="1" applyBorder="1" applyFont="1">
      <alignment readingOrder="0" shrinkToFit="0" vertical="center" wrapText="0"/>
    </xf>
    <xf borderId="10" fillId="2" fontId="2" numFmtId="0" xfId="0" applyAlignment="1" applyBorder="1" applyFont="1">
      <alignment shrinkToFit="0" vertical="center" wrapText="0"/>
    </xf>
    <xf borderId="0" fillId="0" fontId="3" numFmtId="0" xfId="0" applyAlignment="1" applyFont="1">
      <alignment readingOrder="0"/>
    </xf>
    <xf borderId="0" fillId="0" fontId="4" numFmtId="0" xfId="0" applyAlignment="1" applyFont="1">
      <alignment readingOrder="0"/>
    </xf>
    <xf borderId="11" fillId="0" fontId="2" numFmtId="0" xfId="0" applyAlignment="1" applyBorder="1" applyFont="1">
      <alignment readingOrder="0" shrinkToFit="0" vertical="center" wrapText="0"/>
    </xf>
    <xf borderId="12" fillId="0" fontId="2" numFmtId="0" xfId="0" applyAlignment="1" applyBorder="1" applyFont="1">
      <alignment readingOrder="0" shrinkToFit="0" vertical="center" wrapText="0"/>
    </xf>
    <xf borderId="13" fillId="2" fontId="2" numFmtId="0" xfId="0" applyAlignment="1" applyBorder="1" applyFont="1">
      <alignment readingOrder="0" shrinkToFit="0" vertical="center" wrapText="0"/>
    </xf>
    <xf borderId="11" fillId="0" fontId="2" numFmtId="0" xfId="0" applyAlignment="1" applyBorder="1" applyFont="1">
      <alignment shrinkToFit="0" vertical="center" wrapText="0"/>
    </xf>
    <xf borderId="0" fillId="3" fontId="2" numFmtId="0" xfId="0" applyAlignment="1" applyFill="1" applyFont="1">
      <alignment readingOrder="0"/>
    </xf>
    <xf borderId="0" fillId="3" fontId="2" numFmtId="0" xfId="0" applyFont="1"/>
    <xf borderId="12" fillId="0" fontId="2" numFmtId="0" xfId="0" applyAlignment="1" applyBorder="1" applyFont="1">
      <alignment shrinkToFit="0" vertical="center" wrapText="0"/>
    </xf>
    <xf borderId="14" fillId="0" fontId="2" numFmtId="0" xfId="0" applyAlignment="1" applyBorder="1" applyFont="1">
      <alignment readingOrder="0" shrinkToFit="0" vertical="center" wrapText="0"/>
    </xf>
    <xf borderId="15" fillId="0" fontId="2" numFmtId="0" xfId="0" applyAlignment="1" applyBorder="1" applyFont="1">
      <alignment shrinkToFit="0" vertical="center" wrapText="0"/>
    </xf>
    <xf borderId="15" fillId="0" fontId="2" numFmtId="0" xfId="0" applyAlignment="1" applyBorder="1" applyFont="1">
      <alignment readingOrder="0" shrinkToFit="0" vertical="center" wrapText="0"/>
    </xf>
    <xf borderId="16" fillId="0" fontId="2" numFmtId="0" xfId="0" applyAlignment="1" applyBorder="1" applyFont="1">
      <alignment shrinkToFit="0" vertical="center" wrapText="0"/>
    </xf>
    <xf borderId="17" fillId="0" fontId="2" numFmtId="0" xfId="0" applyAlignment="1" applyBorder="1" applyFont="1">
      <alignment readingOrder="0" shrinkToFit="0" vertical="center" wrapText="0"/>
    </xf>
    <xf borderId="18" fillId="0" fontId="2" numFmtId="0" xfId="0" applyAlignment="1" applyBorder="1" applyFont="1">
      <alignment readingOrder="0" shrinkToFit="0" vertical="center" wrapText="0"/>
    </xf>
    <xf borderId="19" fillId="0" fontId="2" numFmtId="0" xfId="0" applyAlignment="1" applyBorder="1" applyFont="1">
      <alignment readingOrder="0" shrinkToFit="0" vertical="center" wrapText="0"/>
    </xf>
    <xf borderId="0" fillId="0" fontId="1" numFmtId="0" xfId="0" applyAlignment="1" applyFont="1">
      <alignment readingOrder="0"/>
    </xf>
    <xf borderId="0" fillId="0" fontId="2" numFmtId="0" xfId="0" applyAlignment="1" applyFont="1">
      <alignment readingOrder="0"/>
    </xf>
    <xf borderId="17" fillId="0" fontId="2" numFmtId="0" xfId="0" applyAlignment="1" applyBorder="1" applyFont="1">
      <alignment readingOrder="0" shrinkToFit="0" vertical="center" wrapText="1"/>
    </xf>
    <xf borderId="18" fillId="0" fontId="2" numFmtId="0" xfId="0" applyAlignment="1" applyBorder="1" applyFont="1">
      <alignment readingOrder="0" shrinkToFit="0" vertical="center" wrapText="1"/>
    </xf>
    <xf borderId="19" fillId="0" fontId="2" numFmtId="0" xfId="0" applyAlignment="1" applyBorder="1" applyFont="1">
      <alignment readingOrder="0" shrinkToFit="0" vertical="center" wrapText="1"/>
    </xf>
    <xf borderId="0" fillId="0" fontId="5" numFmtId="0" xfId="0" applyAlignment="1" applyFont="1">
      <alignment readingOrder="0" shrinkToFit="0" wrapText="1"/>
    </xf>
    <xf borderId="4" fillId="0" fontId="2" numFmtId="0" xfId="0" applyAlignment="1" applyBorder="1" applyFont="1">
      <alignment readingOrder="0" shrinkToFit="0" vertical="center" wrapText="1"/>
    </xf>
    <xf borderId="5" fillId="0" fontId="2" numFmtId="0" xfId="0" applyAlignment="1" applyBorder="1" applyFont="1">
      <alignment readingOrder="0" shrinkToFit="0" vertical="center" wrapText="1"/>
    </xf>
    <xf borderId="11" fillId="0" fontId="2" numFmtId="0" xfId="0" applyAlignment="1" applyBorder="1" applyFont="1">
      <alignment readingOrder="0" shrinkToFit="0" vertical="center" wrapText="1"/>
    </xf>
    <xf borderId="7" fillId="0" fontId="2" numFmtId="0" xfId="0" applyAlignment="1" applyBorder="1" applyFont="1">
      <alignment readingOrder="0" shrinkToFit="0" vertical="center" wrapText="1"/>
    </xf>
    <xf borderId="8" fillId="0" fontId="2" numFmtId="0" xfId="0" applyAlignment="1" applyBorder="1" applyFont="1">
      <alignment readingOrder="0" shrinkToFit="0" vertical="center" wrapText="1"/>
    </xf>
    <xf borderId="12" fillId="0" fontId="2" numFmtId="0" xfId="0" applyAlignment="1" applyBorder="1" applyFont="1">
      <alignment readingOrder="0" shrinkToFit="0" vertical="center" wrapText="1"/>
    </xf>
    <xf borderId="8" fillId="0" fontId="2" numFmtId="0" xfId="0" applyAlignment="1" applyBorder="1" applyFont="1">
      <alignment readingOrder="0" shrinkToFit="0" vertical="center" wrapText="1"/>
    </xf>
    <xf borderId="18" fillId="0" fontId="2" numFmtId="0" xfId="0" applyAlignment="1" applyBorder="1" applyFont="1">
      <alignmen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CDD9D4"/>
          <bgColor rgb="FFCDD9D4"/>
        </patternFill>
      </fill>
      <border/>
    </dxf>
  </dxfs>
  <tableStyles count="6">
    <tableStyle count="4" pivot="0" name="Dimensionnement-style">
      <tableStyleElement dxfId="1" type="headerRow"/>
      <tableStyleElement dxfId="2" type="firstRowStripe"/>
      <tableStyleElement dxfId="3" type="secondRowStripe"/>
      <tableStyleElement dxfId="4" type="totalRow"/>
    </tableStyle>
    <tableStyle count="4" pivot="0" name="Dimensionnement-style 2">
      <tableStyleElement dxfId="1" type="headerRow"/>
      <tableStyleElement dxfId="2" type="firstRowStripe"/>
      <tableStyleElement dxfId="3" type="secondRowStripe"/>
      <tableStyleElement dxfId="4" type="totalRow"/>
    </tableStyle>
    <tableStyle count="3" pivot="0" name="Dimensionnement-style 3">
      <tableStyleElement dxfId="1" type="headerRow"/>
      <tableStyleElement dxfId="2" type="firstRowStripe"/>
      <tableStyleElement dxfId="3" type="secondRowStripe"/>
    </tableStyle>
    <tableStyle count="3" pivot="0" name="Dimensionnement-style 4">
      <tableStyleElement dxfId="1" type="headerRow"/>
      <tableStyleElement dxfId="2" type="firstRowStripe"/>
      <tableStyleElement dxfId="3" type="secondRowStripe"/>
    </tableStyle>
    <tableStyle count="3" pivot="0" name="Registre des traitements CNIL-style">
      <tableStyleElement dxfId="1" type="headerRow"/>
      <tableStyleElement dxfId="2" type="firstRowStripe"/>
      <tableStyleElement dxfId="3" type="secondRowStripe"/>
    </tableStyle>
    <tableStyle count="3" pivot="0" name="Analyse des risque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Évolution des coûts et des gains cumulés (sur 12 ans)</a:t>
            </a:r>
          </a:p>
        </c:rich>
      </c:tx>
      <c:overlay val="0"/>
    </c:title>
    <c:plotArea>
      <c:layout/>
      <c:lineChart>
        <c:ser>
          <c:idx val="0"/>
          <c:order val="0"/>
          <c:tx>
            <c:strRef>
              <c:f>Dimensionnement!$B$34</c:f>
            </c:strRef>
          </c:tx>
          <c:spPr>
            <a:ln cmpd="sng">
              <a:solidFill>
                <a:srgbClr val="4285F4"/>
              </a:solidFill>
            </a:ln>
          </c:spPr>
          <c:marker>
            <c:symbol val="none"/>
          </c:marker>
          <c:cat>
            <c:strRef>
              <c:f>Dimensionnement!$A$35:$A$46</c:f>
            </c:strRef>
          </c:cat>
          <c:val>
            <c:numRef>
              <c:f>Dimensionnement!$B$35:$B$46</c:f>
              <c:numCache/>
            </c:numRef>
          </c:val>
          <c:smooth val="0"/>
        </c:ser>
        <c:ser>
          <c:idx val="1"/>
          <c:order val="1"/>
          <c:tx>
            <c:strRef>
              <c:f>Dimensionnement!$C$34</c:f>
            </c:strRef>
          </c:tx>
          <c:spPr>
            <a:ln cmpd="sng">
              <a:solidFill>
                <a:srgbClr val="EA4335"/>
              </a:solidFill>
            </a:ln>
          </c:spPr>
          <c:marker>
            <c:symbol val="none"/>
          </c:marker>
          <c:cat>
            <c:strRef>
              <c:f>Dimensionnement!$A$35:$A$46</c:f>
            </c:strRef>
          </c:cat>
          <c:val>
            <c:numRef>
              <c:f>Dimensionnement!$C$35:$C$46</c:f>
              <c:numCache/>
            </c:numRef>
          </c:val>
          <c:smooth val="0"/>
        </c:ser>
        <c:axId val="834934775"/>
        <c:axId val="1845842229"/>
      </c:lineChart>
      <c:catAx>
        <c:axId val="83493477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Année</a:t>
                </a:r>
              </a:p>
            </c:rich>
          </c:tx>
          <c:overlay val="0"/>
        </c:title>
        <c:numFmt formatCode="General" sourceLinked="1"/>
        <c:majorTickMark val="none"/>
        <c:minorTickMark val="none"/>
        <c:spPr/>
        <c:txPr>
          <a:bodyPr/>
          <a:lstStyle/>
          <a:p>
            <a:pPr lvl="0">
              <a:defRPr b="0">
                <a:solidFill>
                  <a:srgbClr val="000000"/>
                </a:solidFill>
                <a:latin typeface="+mn-lt"/>
              </a:defRPr>
            </a:pPr>
          </a:p>
        </c:txPr>
        <c:crossAx val="1845842229"/>
      </c:catAx>
      <c:valAx>
        <c:axId val="184584222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34934775"/>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447675</xdr:colOff>
      <xdr:row>33</xdr:row>
      <xdr:rowOff>47625</xdr:rowOff>
    </xdr:from>
    <xdr:ext cx="5715000" cy="3533775"/>
    <xdr:graphicFrame>
      <xdr:nvGraphicFramePr>
        <xdr:cNvPr id="1" name="Chart 1" title="Graphique"/>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L8" displayName="Charges_par_user_story" name="Charges_par_user_story" id="1">
  <tableColumns count="12">
    <tableColumn name="Titre user story" id="1"/>
    <tableColumn name="Charge estimée (jours)" id="2"/>
    <tableColumn name="Répartition Data Scientist (%)" id="3"/>
    <tableColumn name="Répartition Développeur (%)" id="4"/>
    <tableColumn name="Répartition UX/UI (%)" id="5"/>
    <tableColumn name="Jours DS" id="6"/>
    <tableColumn name="Jours Dev" id="7"/>
    <tableColumn name="Jours UX/UI" id="8"/>
    <tableColumn name="Coût DS" id="9"/>
    <tableColumn name="Coût Dev" id="10"/>
    <tableColumn name="Coût UX/UI" id="11"/>
    <tableColumn name="Coût total" id="12"/>
  </tableColumns>
  <tableStyleInfo name="Dimensionnement-style" showColumnStripes="0" showFirstColumn="1" showLastColumn="1" showRowStripes="1"/>
</table>
</file>

<file path=xl/tables/table2.xml><?xml version="1.0" encoding="utf-8"?>
<table xmlns="http://schemas.openxmlformats.org/spreadsheetml/2006/main" ref="A22:B31" displayName="Synthèse_des_coûts_projet" name="Synthèse_des_coûts_projet" id="2">
  <tableColumns count="2">
    <tableColumn name="Description" id="1"/>
    <tableColumn name="Montant (€)" id="2"/>
  </tableColumns>
  <tableStyleInfo name="Dimensionnement-style 2" showColumnStripes="0" showFirstColumn="1" showLastColumn="1" showRowStripes="1"/>
</table>
</file>

<file path=xl/tables/table3.xml><?xml version="1.0" encoding="utf-8"?>
<table xmlns="http://schemas.openxmlformats.org/spreadsheetml/2006/main" ref="A34:D46" displayName="Projection_de_rentabilité" name="Projection_de_rentabilité" id="3">
  <tableColumns count="4">
    <tableColumn name="Année" id="1"/>
    <tableColumn name="Coûts cumulés (€)" id="2"/>
    <tableColumn name="Gains cumulés (€)" id="3"/>
    <tableColumn name="Résultat net (€)" id="4"/>
  </tableColumns>
  <tableStyleInfo name="Dimensionnement-style 3" showColumnStripes="0" showFirstColumn="1" showLastColumn="1" showRowStripes="1"/>
</table>
</file>

<file path=xl/tables/table4.xml><?xml version="1.0" encoding="utf-8"?>
<table xmlns="http://schemas.openxmlformats.org/spreadsheetml/2006/main" ref="A49:E54" displayName="Planification_des_sprints" name="Planification_des_sprints" id="4">
  <tableColumns count="5">
    <tableColumn name="Sprint" id="1"/>
    <tableColumn name="Durée (semaines)" id="2"/>
    <tableColumn name="User stories développées" id="3"/>
    <tableColumn name="Priorité MoSCoW" id="4"/>
    <tableColumn name="Objectif principal" id="5"/>
  </tableColumns>
  <tableStyleInfo name="Dimensionnement-style 4" showColumnStripes="0" showFirstColumn="1" showLastColumn="1" showRowStripes="1"/>
</table>
</file>

<file path=xl/tables/table5.xml><?xml version="1.0" encoding="utf-8"?>
<table xmlns="http://schemas.openxmlformats.org/spreadsheetml/2006/main" ref="A1:G2" displayName="Registre_traitements_CNIL" name="Registre_traitements_CNIL" id="5">
  <tableColumns count="7">
    <tableColumn name="Nom du traitement" id="1"/>
    <tableColumn name="Finalité" id="2"/>
    <tableColumn name="Base légale" id="3"/>
    <tableColumn name="Catégories de données traitées" id="4"/>
    <tableColumn name="Personnes concernées" id="5"/>
    <tableColumn name="Durée de conservation" id="6"/>
    <tableColumn name="Mesures de sécurité" id="7"/>
  </tableColumns>
  <tableStyleInfo name="Registre des traitements CNIL-style" showColumnStripes="0" showFirstColumn="1" showLastColumn="1" showRowStripes="1"/>
</table>
</file>

<file path=xl/tables/table6.xml><?xml version="1.0" encoding="utf-8"?>
<table xmlns="http://schemas.openxmlformats.org/spreadsheetml/2006/main" ref="A1:H8" displayName="Analyse_des_risques" name="Analyse_des_risques" id="6">
  <tableColumns count="8">
    <tableColumn name="Facteurs de risque" id="1"/>
    <tableColumn name="Risque (événement redouté)" id="2"/>
    <tableColumn name="Conséquences" id="3"/>
    <tableColumn name="Impact (0 à 3)" id="4"/>
    <tableColumn name="Probabilité (0 à 3)" id="5"/>
    <tableColumn name="Criticité (impact*prob)" id="6"/>
    <tableColumn name="Actions de prévention" id="7"/>
    <tableColumn name="Actions de correction" id="8"/>
  </tableColumns>
  <tableStyleInfo name="Analyse des risqu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9" Type="http://schemas.openxmlformats.org/officeDocument/2006/relationships/table" Target="../tables/table4.xml"/><Relationship Id="rId6" Type="http://schemas.openxmlformats.org/officeDocument/2006/relationships/table" Target="../tables/table1.xml"/><Relationship Id="rId7" Type="http://schemas.openxmlformats.org/officeDocument/2006/relationships/table" Target="../tables/table2.xml"/><Relationship Id="rId8" Type="http://schemas.openxmlformats.org/officeDocument/2006/relationships/table" Target="../tables/table3.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5.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63"/>
    <col customWidth="1" min="2" max="2" width="22.63"/>
    <col customWidth="1" min="3" max="3" width="58.63"/>
    <col customWidth="1" min="4" max="4" width="26.0"/>
    <col customWidth="1" min="5" max="5" width="48.63"/>
    <col customWidth="1" min="6" max="6" width="12.25"/>
    <col customWidth="1" min="7" max="7" width="13.0"/>
    <col customWidth="1" min="8" max="8" width="14.5"/>
    <col customWidth="1" min="9" max="9" width="11.5"/>
    <col customWidth="1" min="10" max="10" width="12.25"/>
    <col customWidth="1" min="11" max="11" width="13.75"/>
    <col customWidth="1" min="12" max="12" width="12.88"/>
    <col customWidth="1" min="14" max="14" width="13.25"/>
  </cols>
  <sheetData>
    <row r="1">
      <c r="A1" s="1" t="s">
        <v>0</v>
      </c>
      <c r="B1" s="2" t="s">
        <v>1</v>
      </c>
      <c r="C1" s="2" t="s">
        <v>2</v>
      </c>
      <c r="D1" s="2" t="s">
        <v>3</v>
      </c>
      <c r="E1" s="2" t="s">
        <v>4</v>
      </c>
      <c r="F1" s="2" t="s">
        <v>5</v>
      </c>
      <c r="G1" s="2" t="s">
        <v>6</v>
      </c>
      <c r="H1" s="2" t="s">
        <v>7</v>
      </c>
      <c r="I1" s="2" t="s">
        <v>8</v>
      </c>
      <c r="J1" s="2" t="s">
        <v>9</v>
      </c>
      <c r="K1" s="2" t="s">
        <v>10</v>
      </c>
      <c r="L1" s="3" t="s">
        <v>11</v>
      </c>
    </row>
    <row r="2">
      <c r="A2" s="4" t="s">
        <v>12</v>
      </c>
      <c r="B2" s="5">
        <v>8.0</v>
      </c>
      <c r="C2" s="5">
        <v>20.0</v>
      </c>
      <c r="D2" s="5">
        <v>60.0</v>
      </c>
      <c r="E2" s="5">
        <v>20.0</v>
      </c>
      <c r="F2" s="6">
        <f t="shared" ref="F2:F7" si="1">B2 * C2 / 100</f>
        <v>1.6</v>
      </c>
      <c r="G2" s="6">
        <f t="shared" ref="G2:G7" si="2">B2 * D2 / 100</f>
        <v>4.8</v>
      </c>
      <c r="H2" s="6">
        <f t="shared" ref="H2:H7" si="3">B2 * E2 / 100</f>
        <v>1.6</v>
      </c>
      <c r="I2" s="6">
        <f t="shared" ref="I2:I7" si="4">F2 * 600</f>
        <v>960</v>
      </c>
      <c r="J2" s="6">
        <f t="shared" ref="J2:J7" si="5">G2 * 500</f>
        <v>2400</v>
      </c>
      <c r="K2" s="6">
        <f t="shared" ref="K2:K7" si="6">H2 * 400</f>
        <v>640</v>
      </c>
      <c r="L2" s="7">
        <f t="shared" ref="L2:L7" si="7">I2 + J2 + K2</f>
        <v>4000</v>
      </c>
    </row>
    <row r="3">
      <c r="A3" s="8" t="s">
        <v>13</v>
      </c>
      <c r="B3" s="9">
        <v>13.0</v>
      </c>
      <c r="C3" s="9">
        <v>60.0</v>
      </c>
      <c r="D3" s="9">
        <v>30.0</v>
      </c>
      <c r="E3" s="9">
        <v>10.0</v>
      </c>
      <c r="F3" s="10">
        <f t="shared" si="1"/>
        <v>7.8</v>
      </c>
      <c r="G3" s="10">
        <f t="shared" si="2"/>
        <v>3.9</v>
      </c>
      <c r="H3" s="10">
        <f t="shared" si="3"/>
        <v>1.3</v>
      </c>
      <c r="I3" s="10">
        <f t="shared" si="4"/>
        <v>4680</v>
      </c>
      <c r="J3" s="10">
        <f t="shared" si="5"/>
        <v>1950</v>
      </c>
      <c r="K3" s="10">
        <f t="shared" si="6"/>
        <v>520</v>
      </c>
      <c r="L3" s="7">
        <f t="shared" si="7"/>
        <v>7150</v>
      </c>
    </row>
    <row r="4">
      <c r="A4" s="4" t="s">
        <v>14</v>
      </c>
      <c r="B4" s="5">
        <v>8.0</v>
      </c>
      <c r="C4" s="5">
        <v>30.0</v>
      </c>
      <c r="D4" s="5">
        <v>50.0</v>
      </c>
      <c r="E4" s="5">
        <v>20.0</v>
      </c>
      <c r="F4" s="6">
        <f t="shared" si="1"/>
        <v>2.4</v>
      </c>
      <c r="G4" s="6">
        <f t="shared" si="2"/>
        <v>4</v>
      </c>
      <c r="H4" s="6">
        <f t="shared" si="3"/>
        <v>1.6</v>
      </c>
      <c r="I4" s="6">
        <f t="shared" si="4"/>
        <v>1440</v>
      </c>
      <c r="J4" s="6">
        <f t="shared" si="5"/>
        <v>2000</v>
      </c>
      <c r="K4" s="6">
        <f t="shared" si="6"/>
        <v>640</v>
      </c>
      <c r="L4" s="7">
        <f t="shared" si="7"/>
        <v>4080</v>
      </c>
    </row>
    <row r="5">
      <c r="A5" s="8" t="s">
        <v>15</v>
      </c>
      <c r="B5" s="9">
        <v>5.0</v>
      </c>
      <c r="C5" s="9">
        <v>10.0</v>
      </c>
      <c r="D5" s="9">
        <v>60.0</v>
      </c>
      <c r="E5" s="9">
        <v>30.0</v>
      </c>
      <c r="F5" s="10">
        <f t="shared" si="1"/>
        <v>0.5</v>
      </c>
      <c r="G5" s="10">
        <f t="shared" si="2"/>
        <v>3</v>
      </c>
      <c r="H5" s="10">
        <f t="shared" si="3"/>
        <v>1.5</v>
      </c>
      <c r="I5" s="10">
        <f t="shared" si="4"/>
        <v>300</v>
      </c>
      <c r="J5" s="10">
        <f t="shared" si="5"/>
        <v>1500</v>
      </c>
      <c r="K5" s="10">
        <f t="shared" si="6"/>
        <v>600</v>
      </c>
      <c r="L5" s="7">
        <f t="shared" si="7"/>
        <v>2400</v>
      </c>
    </row>
    <row r="6">
      <c r="A6" s="4" t="s">
        <v>16</v>
      </c>
      <c r="B6" s="5">
        <v>10.0</v>
      </c>
      <c r="C6" s="5">
        <v>50.0</v>
      </c>
      <c r="D6" s="5">
        <v>40.0</v>
      </c>
      <c r="E6" s="5">
        <v>10.0</v>
      </c>
      <c r="F6" s="6">
        <f t="shared" si="1"/>
        <v>5</v>
      </c>
      <c r="G6" s="6">
        <f t="shared" si="2"/>
        <v>4</v>
      </c>
      <c r="H6" s="6">
        <f t="shared" si="3"/>
        <v>1</v>
      </c>
      <c r="I6" s="6">
        <f t="shared" si="4"/>
        <v>3000</v>
      </c>
      <c r="J6" s="6">
        <f t="shared" si="5"/>
        <v>2000</v>
      </c>
      <c r="K6" s="6">
        <f t="shared" si="6"/>
        <v>400</v>
      </c>
      <c r="L6" s="7">
        <f t="shared" si="7"/>
        <v>5400</v>
      </c>
    </row>
    <row r="7">
      <c r="A7" s="8" t="s">
        <v>17</v>
      </c>
      <c r="B7" s="9">
        <v>3.0</v>
      </c>
      <c r="C7" s="9">
        <v>10.0</v>
      </c>
      <c r="D7" s="9">
        <v>70.0</v>
      </c>
      <c r="E7" s="9">
        <v>20.0</v>
      </c>
      <c r="F7" s="10">
        <f t="shared" si="1"/>
        <v>0.3</v>
      </c>
      <c r="G7" s="10">
        <f t="shared" si="2"/>
        <v>2.1</v>
      </c>
      <c r="H7" s="10">
        <f t="shared" si="3"/>
        <v>0.6</v>
      </c>
      <c r="I7" s="10">
        <f t="shared" si="4"/>
        <v>180</v>
      </c>
      <c r="J7" s="10">
        <f t="shared" si="5"/>
        <v>1050</v>
      </c>
      <c r="K7" s="10">
        <f t="shared" si="6"/>
        <v>240</v>
      </c>
      <c r="L7" s="7">
        <f t="shared" si="7"/>
        <v>1470</v>
      </c>
    </row>
    <row r="8">
      <c r="A8" s="11" t="s">
        <v>18</v>
      </c>
      <c r="L8" s="12">
        <f>SUM(L2:L7)</f>
        <v>24500</v>
      </c>
    </row>
    <row r="10">
      <c r="A10" s="13" t="s">
        <v>19</v>
      </c>
    </row>
    <row r="11">
      <c r="A11" s="13" t="s">
        <v>20</v>
      </c>
    </row>
    <row r="12">
      <c r="A12" s="14" t="s">
        <v>21</v>
      </c>
    </row>
    <row r="13">
      <c r="A13" s="14" t="s">
        <v>22</v>
      </c>
    </row>
    <row r="14">
      <c r="A14" s="14" t="s">
        <v>23</v>
      </c>
    </row>
    <row r="15">
      <c r="A15" s="14" t="s">
        <v>24</v>
      </c>
    </row>
    <row r="16">
      <c r="A16" s="14" t="s">
        <v>25</v>
      </c>
    </row>
    <row r="17">
      <c r="A17" s="14" t="s">
        <v>26</v>
      </c>
    </row>
    <row r="18">
      <c r="A18" s="13" t="s">
        <v>27</v>
      </c>
    </row>
    <row r="19">
      <c r="A19" s="13" t="s">
        <v>28</v>
      </c>
    </row>
    <row r="22">
      <c r="A22" s="1" t="s">
        <v>29</v>
      </c>
      <c r="B22" s="3" t="s">
        <v>30</v>
      </c>
    </row>
    <row r="23">
      <c r="A23" s="4" t="s">
        <v>31</v>
      </c>
      <c r="B23" s="15">
        <f>SUM(L2:L7)</f>
        <v>24500</v>
      </c>
    </row>
    <row r="24">
      <c r="A24" s="8" t="s">
        <v>32</v>
      </c>
      <c r="B24" s="16">
        <v>268.0</v>
      </c>
    </row>
    <row r="25">
      <c r="A25" s="4" t="s">
        <v>33</v>
      </c>
      <c r="B25" s="15">
        <v>4200.0</v>
      </c>
    </row>
    <row r="26">
      <c r="A26" s="8" t="s">
        <v>34</v>
      </c>
      <c r="B26" s="16">
        <v>2750.0</v>
      </c>
    </row>
    <row r="27">
      <c r="A27" s="4" t="s">
        <v>35</v>
      </c>
      <c r="B27" s="15">
        <v>6400.0</v>
      </c>
    </row>
    <row r="28">
      <c r="A28" s="17" t="s">
        <v>36</v>
      </c>
      <c r="B28" s="7">
        <f>SUM(B23:B27)</f>
        <v>38118</v>
      </c>
    </row>
    <row r="29">
      <c r="A29" s="4" t="s">
        <v>37</v>
      </c>
      <c r="B29" s="18">
        <f>B28*0.15</f>
        <v>5717.7</v>
      </c>
    </row>
    <row r="30">
      <c r="A30" s="8" t="s">
        <v>38</v>
      </c>
      <c r="B30" s="16">
        <v>25.0</v>
      </c>
    </row>
    <row r="31">
      <c r="A31" s="11" t="s">
        <v>39</v>
      </c>
      <c r="B31" s="12">
        <f>SUM(B29:B30)</f>
        <v>5742.7</v>
      </c>
    </row>
    <row r="32">
      <c r="A32" s="19"/>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4">
      <c r="A34" s="1" t="s">
        <v>40</v>
      </c>
      <c r="B34" s="2" t="s">
        <v>41</v>
      </c>
      <c r="C34" s="2" t="s">
        <v>42</v>
      </c>
      <c r="D34" s="3" t="s">
        <v>43</v>
      </c>
    </row>
    <row r="35">
      <c r="A35" s="4" t="s">
        <v>44</v>
      </c>
      <c r="B35" s="6">
        <f>B28 + B31</f>
        <v>43860.7</v>
      </c>
      <c r="C35" s="5">
        <v>12000.0</v>
      </c>
      <c r="D35" s="18">
        <f t="shared" ref="D35:D46" si="8">C35-B35</f>
        <v>-31860.7</v>
      </c>
    </row>
    <row r="36">
      <c r="A36" s="8" t="s">
        <v>45</v>
      </c>
      <c r="B36" s="10">
        <f>B35 + B31</f>
        <v>49603.4</v>
      </c>
      <c r="C36" s="9">
        <v>24000.0</v>
      </c>
      <c r="D36" s="21">
        <f t="shared" si="8"/>
        <v>-25603.4</v>
      </c>
    </row>
    <row r="37">
      <c r="A37" s="4" t="s">
        <v>46</v>
      </c>
      <c r="B37" s="6">
        <f>B36 + B31</f>
        <v>55346.1</v>
      </c>
      <c r="C37" s="5">
        <v>36000.0</v>
      </c>
      <c r="D37" s="18">
        <f t="shared" si="8"/>
        <v>-19346.1</v>
      </c>
    </row>
    <row r="38">
      <c r="A38" s="8" t="s">
        <v>47</v>
      </c>
      <c r="B38" s="10">
        <f>B37 + B31</f>
        <v>61088.8</v>
      </c>
      <c r="C38" s="9">
        <v>48000.0</v>
      </c>
      <c r="D38" s="21">
        <f t="shared" si="8"/>
        <v>-13088.8</v>
      </c>
    </row>
    <row r="39">
      <c r="A39" s="4" t="s">
        <v>48</v>
      </c>
      <c r="B39" s="6">
        <f>B38 + B31</f>
        <v>66831.5</v>
      </c>
      <c r="C39" s="5">
        <v>60000.0</v>
      </c>
      <c r="D39" s="18">
        <f t="shared" si="8"/>
        <v>-6831.5</v>
      </c>
    </row>
    <row r="40">
      <c r="A40" s="8" t="s">
        <v>49</v>
      </c>
      <c r="B40" s="10">
        <f>B39 + B31</f>
        <v>72574.2</v>
      </c>
      <c r="C40" s="9">
        <v>72000.0</v>
      </c>
      <c r="D40" s="21">
        <f t="shared" si="8"/>
        <v>-574.2</v>
      </c>
    </row>
    <row r="41">
      <c r="A41" s="4" t="s">
        <v>50</v>
      </c>
      <c r="B41" s="6">
        <f>B40 + B31</f>
        <v>78316.9</v>
      </c>
      <c r="C41" s="5">
        <v>84000.0</v>
      </c>
      <c r="D41" s="18">
        <f t="shared" si="8"/>
        <v>5683.1</v>
      </c>
    </row>
    <row r="42">
      <c r="A42" s="8" t="s">
        <v>51</v>
      </c>
      <c r="B42" s="10">
        <f>B41 + B31</f>
        <v>84059.6</v>
      </c>
      <c r="C42" s="9">
        <v>96000.0</v>
      </c>
      <c r="D42" s="21">
        <f t="shared" si="8"/>
        <v>11940.4</v>
      </c>
    </row>
    <row r="43">
      <c r="A43" s="4" t="s">
        <v>52</v>
      </c>
      <c r="B43" s="6">
        <f>B42 + B31</f>
        <v>89802.3</v>
      </c>
      <c r="C43" s="5">
        <v>108000.0</v>
      </c>
      <c r="D43" s="18">
        <f t="shared" si="8"/>
        <v>18197.7</v>
      </c>
    </row>
    <row r="44">
      <c r="A44" s="8" t="s">
        <v>53</v>
      </c>
      <c r="B44" s="10">
        <f>B43 + B31</f>
        <v>95545</v>
      </c>
      <c r="C44" s="9">
        <v>120000.0</v>
      </c>
      <c r="D44" s="21">
        <f t="shared" si="8"/>
        <v>24455</v>
      </c>
    </row>
    <row r="45">
      <c r="A45" s="4" t="s">
        <v>54</v>
      </c>
      <c r="B45" s="6">
        <f>B44 + B31</f>
        <v>101287.7</v>
      </c>
      <c r="C45" s="5">
        <v>132000.0</v>
      </c>
      <c r="D45" s="18">
        <f t="shared" si="8"/>
        <v>30712.3</v>
      </c>
    </row>
    <row r="46">
      <c r="A46" s="22" t="s">
        <v>55</v>
      </c>
      <c r="B46" s="23">
        <f>B45 + B31</f>
        <v>107030.4</v>
      </c>
      <c r="C46" s="24">
        <v>144000.0</v>
      </c>
      <c r="D46" s="25">
        <f t="shared" si="8"/>
        <v>36969.6</v>
      </c>
    </row>
    <row r="49">
      <c r="A49" s="1" t="s">
        <v>56</v>
      </c>
      <c r="B49" s="2" t="s">
        <v>57</v>
      </c>
      <c r="C49" s="2" t="s">
        <v>58</v>
      </c>
      <c r="D49" s="2" t="s">
        <v>59</v>
      </c>
      <c r="E49" s="3" t="s">
        <v>60</v>
      </c>
    </row>
    <row r="50">
      <c r="A50" s="4" t="s">
        <v>61</v>
      </c>
      <c r="B50" s="5">
        <v>2.0</v>
      </c>
      <c r="C50" s="5" t="s">
        <v>62</v>
      </c>
      <c r="D50" s="5" t="s">
        <v>63</v>
      </c>
      <c r="E50" s="15" t="s">
        <v>64</v>
      </c>
    </row>
    <row r="51">
      <c r="A51" s="8" t="s">
        <v>65</v>
      </c>
      <c r="B51" s="9">
        <v>2.0</v>
      </c>
      <c r="C51" s="9" t="s">
        <v>13</v>
      </c>
      <c r="D51" s="9" t="s">
        <v>66</v>
      </c>
      <c r="E51" s="16" t="s">
        <v>67</v>
      </c>
    </row>
    <row r="52">
      <c r="A52" s="4" t="s">
        <v>68</v>
      </c>
      <c r="B52" s="5">
        <v>2.0</v>
      </c>
      <c r="C52" s="5" t="s">
        <v>16</v>
      </c>
      <c r="D52" s="5" t="s">
        <v>66</v>
      </c>
      <c r="E52" s="15" t="s">
        <v>69</v>
      </c>
    </row>
    <row r="53">
      <c r="A53" s="8" t="s">
        <v>70</v>
      </c>
      <c r="B53" s="9">
        <v>2.0</v>
      </c>
      <c r="C53" s="9" t="s">
        <v>15</v>
      </c>
      <c r="D53" s="9" t="s">
        <v>71</v>
      </c>
      <c r="E53" s="16" t="s">
        <v>72</v>
      </c>
    </row>
    <row r="54">
      <c r="A54" s="26" t="s">
        <v>73</v>
      </c>
      <c r="B54" s="27">
        <v>2.0</v>
      </c>
      <c r="C54" s="27" t="s">
        <v>17</v>
      </c>
      <c r="D54" s="27" t="s">
        <v>74</v>
      </c>
      <c r="E54" s="28" t="s">
        <v>75</v>
      </c>
    </row>
    <row r="56">
      <c r="A56" s="29" t="s">
        <v>76</v>
      </c>
    </row>
    <row r="57">
      <c r="A57" s="30" t="s">
        <v>77</v>
      </c>
    </row>
  </sheetData>
  <mergeCells count="1">
    <mergeCell ref="A57:J61"/>
  </mergeCells>
  <drawing r:id="rId1"/>
  <tableParts count="4">
    <tablePart r:id="rId6"/>
    <tablePart r:id="rId7"/>
    <tablePart r:id="rId8"/>
    <tablePart r:id="rId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38"/>
    <col customWidth="1" min="2" max="2" width="45.88"/>
    <col customWidth="1" min="3" max="3" width="18.38"/>
    <col customWidth="1" min="4" max="4" width="56.25"/>
    <col customWidth="1" min="5" max="5" width="32.13"/>
    <col customWidth="1" min="6" max="6" width="31.88"/>
    <col customWidth="1" min="7" max="7" width="47.63"/>
  </cols>
  <sheetData>
    <row r="1">
      <c r="A1" s="1" t="s">
        <v>78</v>
      </c>
      <c r="B1" s="2" t="s">
        <v>79</v>
      </c>
      <c r="C1" s="2" t="s">
        <v>80</v>
      </c>
      <c r="D1" s="2" t="s">
        <v>81</v>
      </c>
      <c r="E1" s="2" t="s">
        <v>82</v>
      </c>
      <c r="F1" s="2" t="s">
        <v>83</v>
      </c>
      <c r="G1" s="3" t="s">
        <v>84</v>
      </c>
    </row>
    <row r="2">
      <c r="A2" s="31" t="s">
        <v>85</v>
      </c>
      <c r="B2" s="32" t="s">
        <v>86</v>
      </c>
      <c r="C2" s="32" t="s">
        <v>87</v>
      </c>
      <c r="D2" s="32" t="s">
        <v>88</v>
      </c>
      <c r="E2" s="32" t="s">
        <v>89</v>
      </c>
      <c r="F2" s="32" t="s">
        <v>90</v>
      </c>
      <c r="G2" s="33" t="s">
        <v>91</v>
      </c>
    </row>
    <row r="4">
      <c r="A4" s="34" t="s">
        <v>92</v>
      </c>
    </row>
  </sheetData>
  <mergeCells count="1">
    <mergeCell ref="A4:E14"/>
  </mergeCell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8.75"/>
    <col customWidth="1" min="2" max="2" width="34.13"/>
    <col customWidth="1" min="3" max="3" width="49.5"/>
    <col customWidth="1" min="4" max="4" width="15.88"/>
    <col customWidth="1" min="5" max="5" width="18.88"/>
    <col customWidth="1" min="6" max="6" width="22.25"/>
    <col customWidth="1" min="7" max="7" width="51.38"/>
    <col customWidth="1" min="8" max="8" width="47.25"/>
  </cols>
  <sheetData>
    <row r="1">
      <c r="A1" s="1" t="s">
        <v>93</v>
      </c>
      <c r="B1" s="2" t="s">
        <v>94</v>
      </c>
      <c r="C1" s="2" t="s">
        <v>95</v>
      </c>
      <c r="D1" s="2" t="s">
        <v>96</v>
      </c>
      <c r="E1" s="2" t="s">
        <v>97</v>
      </c>
      <c r="F1" s="2" t="s">
        <v>98</v>
      </c>
      <c r="G1" s="2" t="s">
        <v>99</v>
      </c>
      <c r="H1" s="3" t="s">
        <v>100</v>
      </c>
    </row>
    <row r="2">
      <c r="A2" s="35" t="s">
        <v>101</v>
      </c>
      <c r="B2" s="36" t="s">
        <v>102</v>
      </c>
      <c r="C2" s="36" t="s">
        <v>103</v>
      </c>
      <c r="D2" s="36">
        <v>2.0</v>
      </c>
      <c r="E2" s="36">
        <v>2.0</v>
      </c>
      <c r="F2" s="36">
        <v>4.0</v>
      </c>
      <c r="G2" s="36" t="s">
        <v>104</v>
      </c>
      <c r="H2" s="37" t="s">
        <v>105</v>
      </c>
    </row>
    <row r="3">
      <c r="A3" s="38" t="s">
        <v>106</v>
      </c>
      <c r="B3" s="39" t="s">
        <v>107</v>
      </c>
      <c r="C3" s="39" t="s">
        <v>108</v>
      </c>
      <c r="D3" s="39">
        <v>3.0</v>
      </c>
      <c r="E3" s="39">
        <v>2.0</v>
      </c>
      <c r="F3" s="39">
        <v>6.0</v>
      </c>
      <c r="G3" s="39" t="s">
        <v>109</v>
      </c>
      <c r="H3" s="40" t="s">
        <v>110</v>
      </c>
    </row>
    <row r="4">
      <c r="A4" s="35" t="s">
        <v>111</v>
      </c>
      <c r="B4" s="36" t="s">
        <v>112</v>
      </c>
      <c r="C4" s="36" t="s">
        <v>113</v>
      </c>
      <c r="D4" s="36">
        <v>2.0</v>
      </c>
      <c r="E4" s="36">
        <v>2.0</v>
      </c>
      <c r="F4" s="36">
        <v>4.0</v>
      </c>
      <c r="G4" s="36" t="s">
        <v>114</v>
      </c>
      <c r="H4" s="37" t="s">
        <v>115</v>
      </c>
    </row>
    <row r="5">
      <c r="A5" s="38" t="s">
        <v>116</v>
      </c>
      <c r="B5" s="39" t="s">
        <v>117</v>
      </c>
      <c r="C5" s="39" t="s">
        <v>118</v>
      </c>
      <c r="D5" s="39">
        <v>3.0</v>
      </c>
      <c r="E5" s="39">
        <v>1.0</v>
      </c>
      <c r="F5" s="39">
        <v>3.0</v>
      </c>
      <c r="G5" s="39" t="s">
        <v>119</v>
      </c>
      <c r="H5" s="40" t="s">
        <v>120</v>
      </c>
    </row>
    <row r="6">
      <c r="A6" s="35" t="s">
        <v>121</v>
      </c>
      <c r="B6" s="36" t="s">
        <v>122</v>
      </c>
      <c r="C6" s="36" t="s">
        <v>123</v>
      </c>
      <c r="D6" s="36">
        <v>3.0</v>
      </c>
      <c r="E6" s="36">
        <v>1.0</v>
      </c>
      <c r="F6" s="36">
        <v>3.0</v>
      </c>
      <c r="G6" s="36" t="s">
        <v>124</v>
      </c>
      <c r="H6" s="37" t="s">
        <v>125</v>
      </c>
    </row>
    <row r="7">
      <c r="A7" s="38" t="s">
        <v>126</v>
      </c>
      <c r="B7" s="39" t="s">
        <v>127</v>
      </c>
      <c r="C7" s="39" t="s">
        <v>128</v>
      </c>
      <c r="D7" s="41">
        <v>2.0</v>
      </c>
      <c r="E7" s="41">
        <v>2.0</v>
      </c>
      <c r="F7" s="41">
        <v>4.0</v>
      </c>
      <c r="G7" s="9" t="s">
        <v>129</v>
      </c>
      <c r="H7" s="16" t="s">
        <v>130</v>
      </c>
    </row>
    <row r="8">
      <c r="A8" s="31" t="s">
        <v>131</v>
      </c>
      <c r="B8" s="32" t="s">
        <v>132</v>
      </c>
      <c r="C8" s="32" t="s">
        <v>133</v>
      </c>
      <c r="D8" s="42">
        <v>2.0</v>
      </c>
      <c r="E8" s="42">
        <v>1.0</v>
      </c>
      <c r="F8" s="42">
        <v>2.0</v>
      </c>
      <c r="G8" s="32" t="s">
        <v>134</v>
      </c>
      <c r="H8" s="33" t="s">
        <v>135</v>
      </c>
    </row>
  </sheetData>
  <drawing r:id="rId1"/>
  <tableParts count="1">
    <tablePart r:id="rId3"/>
  </tableParts>
</worksheet>
</file>